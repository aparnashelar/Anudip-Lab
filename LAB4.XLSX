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na\Documents\"/>
    </mc:Choice>
  </mc:AlternateContent>
  <xr:revisionPtr revIDLastSave="0" documentId="8_{C956B79E-AA2A-4829-A79F-EA90586C0994}" xr6:coauthVersionLast="47" xr6:coauthVersionMax="47" xr10:uidLastSave="{00000000-0000-0000-0000-000000000000}"/>
  <bookViews>
    <workbookView xWindow="-108" yWindow="-108" windowWidth="23256" windowHeight="12456" xr2:uid="{121211D5-BE4B-4ED5-9070-41161C7EDBF3}"/>
  </bookViews>
  <sheets>
    <sheet name="PRODUCT" sheetId="1" r:id="rId1"/>
    <sheet name="ORDERS" sheetId="2" r:id="rId2"/>
    <sheet name="ANALYSIS" sheetId="3" r:id="rId3"/>
    <sheet name="PRODUCT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4" i="4"/>
  <c r="C3" i="4"/>
  <c r="C2" i="4"/>
  <c r="B2" i="4" a="1"/>
  <c r="B2" i="4" s="1"/>
  <c r="A2" i="4" a="1"/>
  <c r="A2" i="4" s="1"/>
  <c r="B2" i="3"/>
  <c r="G3" i="2"/>
  <c r="G4" i="2"/>
  <c r="G5" i="2"/>
  <c r="G6" i="2"/>
  <c r="G7" i="2"/>
  <c r="G2" i="2"/>
  <c r="H7" i="2"/>
  <c r="H6" i="2"/>
  <c r="H3" i="2"/>
  <c r="H4" i="2"/>
  <c r="H5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<sst xmlns="http://schemas.openxmlformats.org/spreadsheetml/2006/main" count="32" uniqueCount="29">
  <si>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</si>
  <si>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</si>
  <si>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</si>
  <si>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</si>
  <si>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</si>
  <si>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</si>
  <si>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</si>
  <si>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</si>
  <si>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</si>
  <si>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</si>
  <si>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</si>
  <si>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</si>
  <si>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</si>
  <si>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</si>
  <si>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</si>
  <si>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</si>
  <si>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</si>
  <si>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</si>
  <si>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</si>
  <si>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</si>
  <si>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</si>
  <si>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</si>
  <si>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</si>
  <si>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charset val="134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</si>
  <si>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</si>
  <si>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</si>
  <si>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</si>
  <si>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</si>
  <si>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HAVE BEEN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</si>
</sst>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31AF-8026-4D93-BC9C-206293156795}">
  <dimension ref="A1:C7"/>
  <sheetViews>
    <sheetView tabSelected="1" workbookViewId="0">
      <selection activeCell="C16" sqref="C16"/>
    </sheetView>
  </sheetViews>
  <sheetFormatPr defaultRowHeight="14.4"/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101</v>
      </c>
      <c r="B2" s="3" t="s">
        <v>3</v>
      </c>
      <c r="C2" s="3">
        <v>120</v>
      </c>
    </row>
    <row r="3" spans="1:3">
      <c r="A3" s="3">
        <v>102</v>
      </c>
      <c r="B3" s="3" t="s">
        <v>4</v>
      </c>
      <c r="C3" s="3">
        <v>150</v>
      </c>
    </row>
    <row r="4" spans="1:3">
      <c r="A4" s="3">
        <v>103</v>
      </c>
      <c r="B4" s="3" t="s">
        <v>5</v>
      </c>
      <c r="C4" s="3">
        <v>200</v>
      </c>
    </row>
    <row r="5" spans="1:3">
      <c r="A5" s="3">
        <v>104</v>
      </c>
      <c r="B5" s="3" t="s">
        <v>6</v>
      </c>
      <c r="C5" s="3">
        <v>90</v>
      </c>
    </row>
    <row r="6" spans="1:3">
      <c r="A6" s="3">
        <v>105</v>
      </c>
      <c r="B6" s="3" t="s">
        <v>7</v>
      </c>
      <c r="C6" s="3">
        <v>220</v>
      </c>
    </row>
    <row r="7" spans="1:3">
      <c r="A7" s="3">
        <v>106</v>
      </c>
      <c r="B7" s="3" t="s">
        <v>8</v>
      </c>
      <c r="C7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3326-930D-4F7D-A156-387B9161DABA}">
  <dimension ref="A1:H19"/>
  <sheetViews>
    <sheetView workbookViewId="0">
      <selection activeCell="C2" sqref="C2:C7"/>
    </sheetView>
  </sheetViews>
  <sheetFormatPr defaultRowHeight="14.4"/>
  <cols>
    <col min="4" max="4" width="36" customWidth="1"/>
    <col min="5" max="5" width="17" customWidth="1"/>
    <col min="6" max="6" width="14.109375" customWidth="1"/>
    <col min="7" max="7" width="15" customWidth="1"/>
    <col min="8" max="8" width="14.33203125" customWidth="1"/>
  </cols>
  <sheetData>
    <row r="1" spans="1:8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>
      <c r="A2" s="3">
        <v>1</v>
      </c>
      <c r="B2" s="3">
        <v>101</v>
      </c>
      <c r="C2" s="3">
        <v>2</v>
      </c>
      <c r="D2" s="3" t="str">
        <f>VLOOKUP(B2,PRODUCT!A2:C7,2,FALSE)</f>
        <v>Product A</v>
      </c>
      <c r="E2" s="3">
        <f>VLOOKUP(B2,PRODUCT!A2:C7,3,FALSE)</f>
        <v>120</v>
      </c>
      <c r="F2" s="3">
        <f>C2*E2</f>
        <v>240</v>
      </c>
      <c r="G2" s="3">
        <f>E2*90%</f>
        <v>108</v>
      </c>
      <c r="H2" s="3" t="str">
        <f>IF(ISNA(VLOOKUP(B2,PRODUCT!A2:C7,1,FALSE)),"NOT EXIST","EXIST")</f>
        <v>EXIST</v>
      </c>
    </row>
    <row r="3" spans="1:8">
      <c r="A3" s="3">
        <v>2</v>
      </c>
      <c r="B3" s="3">
        <v>103</v>
      </c>
      <c r="C3" s="3">
        <v>1</v>
      </c>
      <c r="D3" s="3" t="str">
        <f>VLOOKUP(B3,PRODUCT!A3:C8,2,FALSE)</f>
        <v>Product C</v>
      </c>
      <c r="E3" s="3">
        <f>VLOOKUP(B3,PRODUCT!A3:C8,3,FALSE)</f>
        <v>200</v>
      </c>
      <c r="F3" s="3">
        <f t="shared" ref="F3:F7" si="0">C3*E3</f>
        <v>200</v>
      </c>
      <c r="G3" s="3">
        <f t="shared" ref="G3:G7" si="1">E3*90%</f>
        <v>180</v>
      </c>
      <c r="H3" s="3" t="str">
        <f>IF(ISNA(VLOOKUP(B3,PRODUCT!A3:C8,1,FALSE)),"NOT EXIST","EXIST")</f>
        <v>EXIST</v>
      </c>
    </row>
    <row r="4" spans="1:8">
      <c r="A4" s="3">
        <v>3</v>
      </c>
      <c r="B4" s="3">
        <v>105</v>
      </c>
      <c r="C4" s="3">
        <v>4</v>
      </c>
      <c r="D4" s="3" t="str">
        <f>VLOOKUP(B4,PRODUCT!A4:C9,2,FALSE)</f>
        <v>Product E</v>
      </c>
      <c r="E4" s="3">
        <f>VLOOKUP(B4,PRODUCT!A4:C9,3,FALSE)</f>
        <v>220</v>
      </c>
      <c r="F4" s="3">
        <f t="shared" si="0"/>
        <v>880</v>
      </c>
      <c r="G4" s="3">
        <f t="shared" si="1"/>
        <v>198</v>
      </c>
      <c r="H4" s="3" t="str">
        <f>IF(ISNA(VLOOKUP(B4,PRODUCT!A4:C9,1,FALSE)),"NOT EXIST","EXIST")</f>
        <v>EXIST</v>
      </c>
    </row>
    <row r="5" spans="1:8">
      <c r="A5" s="3">
        <v>4</v>
      </c>
      <c r="B5" s="3">
        <v>106</v>
      </c>
      <c r="C5" s="3">
        <v>3</v>
      </c>
      <c r="D5" s="3" t="str">
        <f>VLOOKUP(B5,PRODUCT!A5:C10,2,FALSE)</f>
        <v>Product F</v>
      </c>
      <c r="E5" s="3">
        <f>VLOOKUP(B5,PRODUCT!A5:C10,3,FALSE)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IF(ISNA(VLOOKUP(B5,PRODUCT!A5:C10,1,FALSE)),"NOT EXIST","EXIST")</f>
        <v>EXIST</v>
      </c>
    </row>
    <row r="6" spans="1:8">
      <c r="A6" s="3">
        <v>5</v>
      </c>
      <c r="B6" s="3">
        <v>102</v>
      </c>
      <c r="C6" s="3">
        <v>5</v>
      </c>
      <c r="D6" s="3" t="str">
        <f>VLOOKUP(B6,PRODUCT!A2:C7,2,FALSE)</f>
        <v>Product B</v>
      </c>
      <c r="E6" s="3">
        <f>VLOOKUP(B6,PRODUCT!A2:C7,3,FALSE)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IF(ISNA(VLOOKUP(B6,PRODUCT!A2:C7,1,FALSE)),"NOT EXIST","EXIST")</f>
        <v>EXIST</v>
      </c>
    </row>
    <row r="7" spans="1:8">
      <c r="A7" s="3">
        <v>6</v>
      </c>
      <c r="B7" s="3">
        <v>104</v>
      </c>
      <c r="C7" s="3">
        <v>6</v>
      </c>
      <c r="D7" s="3" t="str">
        <f>VLOOKUP(B7,PRODUCT!A2:C7,2,FALSE)</f>
        <v>Product D</v>
      </c>
      <c r="E7" s="3">
        <f>VLOOKUP(B7,PRODUCT!A2:C7,3,FALSE)</f>
        <v>90</v>
      </c>
      <c r="F7" s="3">
        <f t="shared" si="0"/>
        <v>540</v>
      </c>
      <c r="G7" s="3">
        <f t="shared" si="1"/>
        <v>81</v>
      </c>
      <c r="H7" s="3" t="str">
        <f>IF(ISNA(VLOOKUP(B7,PRODUCT!A2:C17,1,FALSE)),"NOT EXIST","EXIST")</f>
        <v>EXIST</v>
      </c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4" t="s">
        <v>16</v>
      </c>
      <c r="B10" s="4"/>
      <c r="C10" s="4"/>
      <c r="D10" s="4"/>
      <c r="E10" s="4"/>
      <c r="F10" s="4"/>
      <c r="G10" s="4"/>
      <c r="H10" s="1"/>
    </row>
    <row r="11" spans="1:8">
      <c r="A11" s="4" t="s">
        <v>17</v>
      </c>
      <c r="B11" s="4"/>
      <c r="C11" s="4"/>
      <c r="D11" s="4"/>
      <c r="E11" s="4"/>
      <c r="F11" s="4"/>
      <c r="G11" s="4"/>
      <c r="H11" s="1"/>
    </row>
    <row r="12" spans="1:8">
      <c r="A12" s="4" t="s">
        <v>18</v>
      </c>
      <c r="B12" s="4"/>
      <c r="C12" s="4"/>
      <c r="D12" s="4"/>
      <c r="E12" s="4"/>
      <c r="F12" s="4"/>
      <c r="G12" s="4"/>
      <c r="H12" s="1"/>
    </row>
    <row r="13" spans="1:8">
      <c r="A13" s="4" t="s">
        <v>19</v>
      </c>
      <c r="B13" s="4"/>
      <c r="C13" s="4"/>
      <c r="D13" s="4"/>
      <c r="E13" s="4"/>
      <c r="F13" s="4"/>
      <c r="G13" s="4"/>
      <c r="H13" s="1"/>
    </row>
    <row r="14" spans="1:8">
      <c r="A14" s="4" t="s">
        <v>20</v>
      </c>
      <c r="B14" s="4"/>
      <c r="C14" s="4"/>
      <c r="D14" s="4"/>
      <c r="E14" s="4"/>
      <c r="F14" s="4"/>
      <c r="G14" s="4"/>
      <c r="H14" s="1"/>
    </row>
    <row r="15" spans="1:8">
      <c r="A15" s="4" t="s">
        <v>21</v>
      </c>
      <c r="B15" s="4"/>
      <c r="C15" s="4"/>
      <c r="D15" s="4"/>
      <c r="E15" s="4"/>
      <c r="F15" s="4"/>
      <c r="G15" s="4"/>
      <c r="H15" s="1"/>
    </row>
    <row r="16" spans="1:8">
      <c r="A16" s="4" t="s">
        <v>22</v>
      </c>
      <c r="B16" s="4"/>
      <c r="C16" s="4"/>
      <c r="D16" s="4"/>
      <c r="E16" s="4"/>
      <c r="F16" s="4"/>
      <c r="G16" s="4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A7DC-04DC-49EE-8B0C-D612F013ED84}">
  <dimension ref="A1:B3"/>
  <sheetViews>
    <sheetView workbookViewId="0">
      <selection activeCell="B4" sqref="B4"/>
    </sheetView>
  </sheetViews>
  <sheetFormatPr defaultRowHeight="14.4"/>
  <cols>
    <col min="1" max="1" width="20.33203125" customWidth="1"/>
    <col min="2" max="2" width="30.5546875" customWidth="1"/>
  </cols>
  <sheetData>
    <row r="1" spans="1:2">
      <c r="A1" s="5" t="s">
        <v>23</v>
      </c>
      <c r="B1" s="6" t="s">
        <v>24</v>
      </c>
    </row>
    <row r="2" spans="1:2">
      <c r="A2" s="1" t="s">
        <v>25</v>
      </c>
      <c r="B2" s="7">
        <f>MAX(ORDERS!F2:F7)</f>
        <v>880</v>
      </c>
    </row>
    <row r="3" spans="1:2">
      <c r="A3" s="1" t="s">
        <v>26</v>
      </c>
      <c r="B3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6570-C586-4AFF-960F-4D6C5CE7F69E}">
  <dimension ref="A1:C7"/>
  <sheetViews>
    <sheetView workbookViewId="0">
      <selection activeCell="C8" sqref="C8"/>
    </sheetView>
  </sheetViews>
  <sheetFormatPr defaultRowHeight="14.4"/>
  <cols>
    <col min="1" max="1" width="13.21875" customWidth="1"/>
    <col min="2" max="2" width="15.5546875" customWidth="1"/>
    <col min="3" max="3" width="20.44140625" customWidth="1"/>
  </cols>
  <sheetData>
    <row r="1" spans="1:3">
      <c r="A1" s="6" t="s">
        <v>0</v>
      </c>
      <c r="B1" s="6" t="s">
        <v>11</v>
      </c>
      <c r="C1" s="6" t="s">
        <v>27</v>
      </c>
    </row>
    <row r="2" spans="1:3">
      <c r="A2" s="1" cm="1">
        <f t="array" ref="A2:A7">PRODUCT!A2:A7</f>
        <v>101</v>
      </c>
      <c r="B2" s="1" t="str" cm="1">
        <f t="array" ref="B2:B7">PRODUCT!B2:B7</f>
        <v>Product A</v>
      </c>
      <c r="C2" s="1">
        <f>SUMIF(ORDERS!B2:B7,A2,ORDERS!C2:C7)</f>
        <v>2</v>
      </c>
    </row>
    <row r="3" spans="1:3">
      <c r="A3">
        <v>102</v>
      </c>
      <c r="B3" t="str">
        <v>Product B</v>
      </c>
      <c r="C3" s="1">
        <f>SUMIF(ORDERS!B2:B7,A3,ORDERS!C2:C7)</f>
        <v>5</v>
      </c>
    </row>
    <row r="4" spans="1:3">
      <c r="A4">
        <v>103</v>
      </c>
      <c r="B4" t="str">
        <v>Product C</v>
      </c>
      <c r="C4" s="1">
        <f>SUMIF(ORDERS!B2:B7,A4,ORDERS!C2:C7)</f>
        <v>1</v>
      </c>
    </row>
    <row r="5" spans="1:3">
      <c r="A5">
        <v>104</v>
      </c>
      <c r="B5" t="str">
        <v>Product D</v>
      </c>
      <c r="C5" s="1">
        <f>SUMIF(ORDERS!B2:B7,A5,ORDERS!C2:C7)</f>
        <v>6</v>
      </c>
    </row>
    <row r="6" spans="1:3">
      <c r="A6">
        <v>105</v>
      </c>
      <c r="B6" t="str">
        <v>Product E</v>
      </c>
      <c r="C6" s="1">
        <f>SUMIF(ORDERS!B2:B7,A6,ORDERS!C2:C7)</f>
        <v>4</v>
      </c>
    </row>
    <row r="7" spans="1:3">
      <c r="A7">
        <v>106</v>
      </c>
      <c r="B7" t="str">
        <v>Product F</v>
      </c>
      <c r="C7" s="1">
        <f>SUMIF(ORDERS!B2:B7,A7,ORDERS!C2:C7)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Shelar</dc:creator>
  <cp:lastModifiedBy>Aparna Shelar</cp:lastModifiedBy>
  <dcterms:created xsi:type="dcterms:W3CDTF">2026-07-03T08:13:32Z</dcterms:created>
  <dcterms:modified xsi:type="dcterms:W3CDTF">2026-07-03T09:06:18Z</dcterms:modified>
</cp:coreProperties>
</file>